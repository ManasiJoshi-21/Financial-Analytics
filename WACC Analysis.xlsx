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Documents\FA Assignments &amp; projects\"/>
    </mc:Choice>
  </mc:AlternateContent>
  <xr:revisionPtr revIDLastSave="0" documentId="13_ncr:1_{D0D3796B-83A7-41F1-A741-15488CAA55A6}" xr6:coauthVersionLast="47" xr6:coauthVersionMax="47" xr10:uidLastSave="{00000000-0000-0000-0000-000000000000}"/>
  <bookViews>
    <workbookView xWindow="-108" yWindow="-108" windowWidth="23256" windowHeight="12456" xr2:uid="{F6ADC6DC-506C-4157-964A-482BAD81B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J4" i="1"/>
  <c r="B13" i="1"/>
  <c r="B14" i="1"/>
  <c r="I4" i="1"/>
  <c r="I5" i="1"/>
  <c r="I6" i="1"/>
  <c r="J5" i="1"/>
  <c r="J6" i="1"/>
</calcChain>
</file>

<file path=xl/sharedStrings.xml><?xml version="1.0" encoding="utf-8"?>
<sst xmlns="http://schemas.openxmlformats.org/spreadsheetml/2006/main" count="23" uniqueCount="17">
  <si>
    <t>Weighted Average Cost of Capital</t>
  </si>
  <si>
    <t xml:space="preserve">Company </t>
  </si>
  <si>
    <t xml:space="preserve">Tata Consultancy Services </t>
  </si>
  <si>
    <t xml:space="preserve">Infosys </t>
  </si>
  <si>
    <t xml:space="preserve">Larsen &amp; Toubro </t>
  </si>
  <si>
    <t xml:space="preserve">Country </t>
  </si>
  <si>
    <t xml:space="preserve">India </t>
  </si>
  <si>
    <t xml:space="preserve">Cost of Equity (Ke </t>
  </si>
  <si>
    <t xml:space="preserve">Market Value of Equity (₹ Cr) </t>
  </si>
  <si>
    <t xml:space="preserve">Debt Ratio(%) </t>
  </si>
  <si>
    <t xml:space="preserve">Cost of Debt (%) </t>
  </si>
  <si>
    <t xml:space="preserve">Tax Rate </t>
  </si>
  <si>
    <t>Weight of Debt</t>
  </si>
  <si>
    <t>Weight of Equity</t>
  </si>
  <si>
    <t>After Tax cost of debt</t>
  </si>
  <si>
    <t>WACC Calculation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</si>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</sst>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10" fontId="5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/>
    <xf numFmtId="0" fontId="4" fillId="5" borderId="0" xfId="0" applyFont="1" applyFill="1" applyAlignment="1">
      <alignment horizontal="center" vertical="center" wrapText="1"/>
    </xf>
    <xf numFmtId="9" fontId="0" fillId="4" borderId="0" xfId="0" applyNumberFormat="1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5" fillId="7" borderId="0" xfId="0" applyFont="1" applyFill="1"/>
    <xf numFmtId="3" fontId="3" fillId="4" borderId="0" xfId="0" applyNumberFormat="1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10" fontId="5" fillId="4" borderId="0" xfId="0" applyNumberFormat="1" applyFont="1" applyFill="1" applyAlignment="1">
      <alignment horizontal="center" wrapText="1"/>
    </xf>
    <xf numFmtId="3" fontId="5" fillId="4" borderId="0" xfId="0" applyNumberFormat="1" applyFont="1" applyFill="1" applyAlignment="1">
      <alignment horizontal="center" wrapText="1"/>
    </xf>
    <xf numFmtId="9" fontId="5" fillId="4" borderId="0" xfId="0" applyNumberFormat="1" applyFont="1" applyFill="1" applyAlignment="1">
      <alignment horizontal="center" wrapText="1"/>
    </xf>
    <xf numFmtId="10" fontId="0" fillId="4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B4D3-B8BC-4B11-8DBB-8EE36785328D}">
  <dimension ref="A1:J14"/>
  <sheetViews>
    <sheetView showGridLines="0" tabSelected="1" workbookViewId="0">
      <selection activeCell="B13" sqref="B13"/>
    </sheetView>
  </sheetViews>
  <sheetFormatPr defaultRowHeight="14.4" x14ac:dyDescent="0.3"/>
  <cols>
    <col min="1" max="1" width="18" customWidth="1"/>
    <col min="2" max="2" width="13.109375" bestFit="1" customWidth="1"/>
    <col min="3" max="3" width="18.77734375" customWidth="1"/>
    <col min="4" max="4" width="16.5546875" customWidth="1"/>
    <col min="5" max="5" width="12.33203125" customWidth="1"/>
    <col min="6" max="6" width="9.88671875" customWidth="1"/>
    <col min="7" max="7" width="10.77734375" customWidth="1"/>
  </cols>
  <sheetData>
    <row r="1" spans="1:10" ht="18" x14ac:dyDescent="0.35">
      <c r="A1" s="1" t="s">
        <v>0</v>
      </c>
      <c r="B1" s="2"/>
      <c r="C1" s="3"/>
      <c r="D1" s="3"/>
      <c r="E1" s="3"/>
      <c r="F1" s="3"/>
      <c r="G1" s="3"/>
      <c r="H1" s="3"/>
    </row>
    <row r="3" spans="1:10" ht="62.4" x14ac:dyDescent="0.3">
      <c r="A3" s="8" t="s">
        <v>1</v>
      </c>
      <c r="B3" s="8" t="s">
        <v>5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</row>
    <row r="4" spans="1:10" ht="31.2" x14ac:dyDescent="0.3">
      <c r="A4" s="6" t="s">
        <v>2</v>
      </c>
      <c r="B4" s="16" t="s">
        <v>6</v>
      </c>
      <c r="C4" s="17">
        <v>0.115</v>
      </c>
      <c r="D4" s="18">
        <v>1350000</v>
      </c>
      <c r="E4" s="19">
        <v>0.05</v>
      </c>
      <c r="F4" s="17">
        <v>7.0000000000000007E-2</v>
      </c>
      <c r="G4" s="19">
        <v>0.25</v>
      </c>
      <c r="H4" s="19">
        <v>0.05</v>
      </c>
      <c r="I4" s="9">
        <f>1-H4</f>
        <v>0.95</v>
      </c>
      <c r="J4" s="20">
        <f>F4*(1-G4)</f>
        <v>5.2500000000000005E-2</v>
      </c>
    </row>
    <row r="5" spans="1:10" ht="15.6" x14ac:dyDescent="0.3">
      <c r="A5" s="6" t="s">
        <v>3</v>
      </c>
      <c r="B5" s="16" t="s">
        <v>6</v>
      </c>
      <c r="C5" s="17">
        <v>0.12</v>
      </c>
      <c r="D5" s="18">
        <v>750000</v>
      </c>
      <c r="E5" s="19">
        <v>0.03</v>
      </c>
      <c r="F5" s="17">
        <v>6.8000000000000005E-2</v>
      </c>
      <c r="G5" s="19">
        <v>0.25</v>
      </c>
      <c r="H5" s="19">
        <v>0.03</v>
      </c>
      <c r="I5" s="9">
        <f t="shared" ref="I5:I6" si="0">1-H5</f>
        <v>0.97</v>
      </c>
      <c r="J5" s="20">
        <f t="shared" ref="J5:J6" si="1">F5*(1-G5)</f>
        <v>5.1000000000000004E-2</v>
      </c>
    </row>
    <row r="6" spans="1:10" ht="15.6" x14ac:dyDescent="0.3">
      <c r="A6" s="7" t="s">
        <v>4</v>
      </c>
      <c r="B6" s="16" t="s">
        <v>6</v>
      </c>
      <c r="C6" s="17">
        <v>0.14499999999999999</v>
      </c>
      <c r="D6" s="14">
        <v>420000</v>
      </c>
      <c r="E6" s="19">
        <v>0.4</v>
      </c>
      <c r="F6" s="15">
        <v>9.5000000000000001E-2</v>
      </c>
      <c r="G6" s="19">
        <v>0.25</v>
      </c>
      <c r="H6" s="19">
        <v>0.4</v>
      </c>
      <c r="I6" s="9">
        <f t="shared" si="0"/>
        <v>0.6</v>
      </c>
      <c r="J6" s="20">
        <f t="shared" si="1"/>
        <v>7.1250000000000008E-2</v>
      </c>
    </row>
    <row r="7" spans="1:10" ht="15.6" x14ac:dyDescent="0.3">
      <c r="C7" s="4"/>
      <c r="E7" s="5"/>
      <c r="G7" s="5"/>
    </row>
    <row r="10" spans="1:10" x14ac:dyDescent="0.3">
      <c r="A10" t="s">
        <v>15</v>
      </c>
    </row>
    <row r="11" spans="1:10" ht="15.6" x14ac:dyDescent="0.3">
      <c r="A11" s="11" t="s">
        <v>1</v>
      </c>
      <c r="B11" s="10" t="s">
        <v>16</v>
      </c>
    </row>
    <row r="12" spans="1:10" ht="31.2" x14ac:dyDescent="0.3">
      <c r="A12" s="12" t="s">
        <v>2</v>
      </c>
      <c r="B12" s="21">
        <f>C4*I4+J4*H4</f>
        <v>0.111875</v>
      </c>
    </row>
    <row r="13" spans="1:10" ht="15.6" x14ac:dyDescent="0.3">
      <c r="A13" s="12" t="s">
        <v>3</v>
      </c>
      <c r="B13" s="21">
        <f>C5*I5+J5*H5</f>
        <v>0.11792999999999999</v>
      </c>
    </row>
    <row r="14" spans="1:10" ht="15.6" x14ac:dyDescent="0.3">
      <c r="A14" s="13" t="s">
        <v>4</v>
      </c>
      <c r="B14" s="21">
        <f t="shared" ref="B14" si="2">C6*I6+J6*H6</f>
        <v>0.11549999999999999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2026-04-07T10:35:47Z</dcterms:created>
  <dcterms:modified xsi:type="dcterms:W3CDTF">2026-05-18T10:22:56Z</dcterms:modified>
</cp:coreProperties>
</file>