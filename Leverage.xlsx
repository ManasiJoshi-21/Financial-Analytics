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i Joshi\Videos\FA Assignments\"/>
    </mc:Choice>
  </mc:AlternateContent>
  <xr:revisionPtr revIDLastSave="0" documentId="13_ncr:1_{511A80FE-ECA6-44F6-8063-743998E5270F}" xr6:coauthVersionLast="47" xr6:coauthVersionMax="47" xr10:uidLastSave="{00000000-0000-0000-0000-000000000000}"/>
  <bookViews>
    <workbookView xWindow="-108" yWindow="-108" windowWidth="23256" windowHeight="12456" xr2:uid="{C453C0B4-921F-4B54-962E-1B3B8F7DE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8" i="1" l="1"/>
  <c r="K23" i="1"/>
  <c r="K16" i="1"/>
  <c r="L6" i="1"/>
  <c r="L8" i="1" s="1"/>
  <c r="L10" i="1" s="1"/>
</calcChain>
</file>

<file path=xl/sharedStrings.xml><?xml version="1.0" encoding="utf-8"?>
<sst xmlns="http://schemas.openxmlformats.org/spreadsheetml/2006/main" count="32" uniqueCount="28">
  <si>
    <r>
      <t>Leverage</t>
    </r>
    <r>
      <rPr>
        <sz val="12"/>
        <color rgb="FF000000"/>
        <rFont val="Times New Roman"/>
        <family val="1"/>
      </rPr>
      <t xml:space="preserve"> </t>
    </r>
  </si>
  <si>
    <t xml:space="preserve">Tata Motors </t>
  </si>
  <si>
    <t xml:space="preserve">Given Data (₹ Crore) </t>
  </si>
  <si>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Times New Roman"/>
        <family val="1"/>
      </rPr>
      <t xml:space="preserve">Fixed Operating Cost = 40,000 </t>
    </r>
  </si>
  <si>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imes New Roman"/>
        <family val="1"/>
      </rPr>
      <t xml:space="preserve">Interest Expense = 8,000 </t>
    </r>
  </si>
  <si>
    <r>
      <rPr>
        <sz val="7"/>
        <color rgb="FF000000"/>
        <rFont val="Times New Roman"/>
        <family val="1"/>
      </rPr>
      <t>       </t>
    </r>
    <r>
      <rPr>
        <sz val="12"/>
        <color rgb="FF000000"/>
        <rFont val="Times New Roman"/>
        <family val="1"/>
      </rPr>
      <t xml:space="preserve">Variable Cost = 2,10,000 </t>
    </r>
  </si>
  <si>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 xml:space="preserve">Sales = 3,00,000 </t>
    </r>
  </si>
  <si>
    <t>The Income Statement</t>
  </si>
  <si>
    <t xml:space="preserve">Description </t>
  </si>
  <si>
    <t>Value (in cr)</t>
  </si>
  <si>
    <t>Sales</t>
  </si>
  <si>
    <t>Less: Variable cost</t>
  </si>
  <si>
    <t>Contribution</t>
  </si>
  <si>
    <t>Less:Fixed Operating Cost</t>
  </si>
  <si>
    <t>EBIT</t>
  </si>
  <si>
    <t xml:space="preserve">Less:Intrest </t>
  </si>
  <si>
    <t xml:space="preserve">EBT </t>
  </si>
  <si>
    <t>1.Operating Leverage (OL)</t>
  </si>
  <si>
    <t>Formula:</t>
  </si>
  <si>
    <t>DOL=900000/50000</t>
  </si>
  <si>
    <t>2. Financial Leverage (FL)</t>
  </si>
  <si>
    <t>DFL=50000/(50000-8000)</t>
  </si>
  <si>
    <t xml:space="preserve">                    3.Combined Leverage (CL)</t>
  </si>
  <si>
    <t>DCL=1.8*1.19</t>
  </si>
  <si>
    <t>Summary:</t>
  </si>
  <si>
    <t>Every 1% increase in sales, EBIT will increase by 1.8%.</t>
  </si>
  <si>
    <t>For every 1% increase in EBIT, EBT will increase by 1.19%.</t>
  </si>
  <si>
    <t>For every 1% increase in sales, EBT will increase by 2.14%.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</si>
</sst>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7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Aptos"/>
      <family val="2"/>
    </font>
    <font>
      <b/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2" fillId="2" borderId="0" xfId="0" applyFont="1" applyFill="1"/>
    <xf numFmtId="0" fontId="2" fillId="3" borderId="0" xfId="0" applyFont="1" applyFill="1" applyAlignment="1">
      <alignment vertical="center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/>
    <xf numFmtId="0" fontId="3" fillId="4" borderId="0" xfId="0" applyFont="1" applyFill="1" applyAlignment="1">
      <alignment vertical="center"/>
    </xf>
    <xf numFmtId="0" fontId="0" fillId="0" borderId="0" xfId="0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5" borderId="0" xfId="0" applyFill="1"/>
    <xf numFmtId="0" fontId="0" fillId="8" borderId="0" xfId="0" applyFill="1" applyAlignment="1"/>
    <xf numFmtId="0" fontId="0" fillId="2" borderId="0" xfId="0" applyFill="1" applyAlignment="1"/>
    <xf numFmtId="0" fontId="0" fillId="8" borderId="0" xfId="0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0" fillId="9" borderId="0" xfId="0" applyFill="1"/>
    <xf numFmtId="0" fontId="0" fillId="9" borderId="0" xfId="0" applyFill="1" applyAlignment="1">
      <alignment horizontal="right" vertical="top"/>
    </xf>
    <xf numFmtId="2" fontId="0" fillId="9" borderId="0" xfId="0" applyNumberFormat="1" applyFill="1" applyAlignment="1">
      <alignment horizontal="right" vertical="top"/>
    </xf>
    <xf numFmtId="0" fontId="0" fillId="9" borderId="0" xfId="0" applyFill="1"/>
    <xf numFmtId="2" fontId="0" fillId="9" borderId="0" xfId="0" applyNumberForma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</xdr:row>
      <xdr:rowOff>129540</xdr:rowOff>
    </xdr:from>
    <xdr:to>
      <xdr:col>9</xdr:col>
      <xdr:colOff>655320</xdr:colOff>
      <xdr:row>15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A7937-67E7-DCEB-747C-19AE5CADE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3980" y="2628900"/>
          <a:ext cx="126492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22860</xdr:colOff>
      <xdr:row>20</xdr:row>
      <xdr:rowOff>152400</xdr:rowOff>
    </xdr:from>
    <xdr:to>
      <xdr:col>9</xdr:col>
      <xdr:colOff>853440</xdr:colOff>
      <xdr:row>22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DCA55-7B6B-1100-6856-E6DCB52ED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840" y="3931920"/>
          <a:ext cx="144018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53340</xdr:colOff>
      <xdr:row>26</xdr:row>
      <xdr:rowOff>137160</xdr:rowOff>
    </xdr:from>
    <xdr:to>
      <xdr:col>10</xdr:col>
      <xdr:colOff>198120</xdr:colOff>
      <xdr:row>27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812BC6-4E27-5C86-7802-FE4EC65CF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5013960"/>
          <a:ext cx="12192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BAC8-0F30-41F1-8EC8-19868DF93A36}">
  <dimension ref="A1:S28"/>
  <sheetViews>
    <sheetView tabSelected="1" zoomScale="89" zoomScaleNormal="89" workbookViewId="0">
      <selection activeCell="T12" sqref="T12"/>
    </sheetView>
  </sheetViews>
  <sheetFormatPr defaultRowHeight="14.4" x14ac:dyDescent="0.3"/>
  <cols>
    <col min="1" max="1" width="8.88671875" customWidth="1"/>
    <col min="2" max="2" width="13.21875" customWidth="1"/>
    <col min="9" max="9" width="6" customWidth="1"/>
    <col min="10" max="10" width="15.6640625" customWidth="1"/>
    <col min="12" max="12" width="12.6640625" customWidth="1"/>
    <col min="13" max="13" width="13.6640625" customWidth="1"/>
  </cols>
  <sheetData>
    <row r="1" spans="1:18" ht="15.6" x14ac:dyDescent="0.3">
      <c r="B1" s="2" t="s">
        <v>0</v>
      </c>
      <c r="C1" s="2"/>
      <c r="D1" s="2"/>
      <c r="E1" s="2"/>
      <c r="J1" s="10" t="s">
        <v>7</v>
      </c>
      <c r="K1" s="10"/>
      <c r="L1" s="10"/>
    </row>
    <row r="2" spans="1:18" ht="15.6" x14ac:dyDescent="0.3">
      <c r="B2" s="1"/>
      <c r="C2" s="1"/>
      <c r="D2" s="1"/>
      <c r="E2" s="1"/>
      <c r="J2" s="13"/>
      <c r="K2" s="13"/>
      <c r="L2" s="13"/>
      <c r="M2" s="7"/>
    </row>
    <row r="3" spans="1:18" x14ac:dyDescent="0.3">
      <c r="J3" s="11" t="s">
        <v>8</v>
      </c>
      <c r="K3" s="11"/>
      <c r="L3" s="12" t="s">
        <v>9</v>
      </c>
      <c r="M3" s="7"/>
    </row>
    <row r="4" spans="1:18" x14ac:dyDescent="0.3">
      <c r="B4" s="7"/>
      <c r="J4" s="16" t="s">
        <v>10</v>
      </c>
      <c r="K4" s="16"/>
      <c r="L4" s="14">
        <v>300000</v>
      </c>
      <c r="M4" s="7"/>
    </row>
    <row r="5" spans="1:18" ht="15.6" x14ac:dyDescent="0.3">
      <c r="B5" s="7"/>
      <c r="C5" s="8" t="s">
        <v>1</v>
      </c>
      <c r="D5" s="8"/>
      <c r="J5" s="16" t="s">
        <v>11</v>
      </c>
      <c r="K5" s="16"/>
      <c r="L5" s="14">
        <v>210000</v>
      </c>
      <c r="M5" s="7"/>
    </row>
    <row r="6" spans="1:18" x14ac:dyDescent="0.3">
      <c r="B6" s="7"/>
      <c r="J6" s="17" t="s">
        <v>12</v>
      </c>
      <c r="K6" s="17"/>
      <c r="L6" s="15">
        <f>L4-L5</f>
        <v>90000</v>
      </c>
      <c r="M6" s="7"/>
    </row>
    <row r="7" spans="1:18" ht="15.6" x14ac:dyDescent="0.3">
      <c r="A7" s="3" t="s">
        <v>2</v>
      </c>
      <c r="B7" s="3"/>
      <c r="J7" s="18" t="s">
        <v>13</v>
      </c>
      <c r="K7" s="18"/>
      <c r="L7" s="14">
        <v>40000</v>
      </c>
      <c r="M7" s="7"/>
    </row>
    <row r="8" spans="1:18" ht="15.6" customHeight="1" x14ac:dyDescent="0.3">
      <c r="B8" s="4" t="s">
        <v>6</v>
      </c>
      <c r="C8" s="5"/>
      <c r="D8" s="5"/>
      <c r="E8" s="6"/>
      <c r="J8" s="19" t="s">
        <v>14</v>
      </c>
      <c r="K8" s="19"/>
      <c r="L8" s="15">
        <f>L6-L7</f>
        <v>50000</v>
      </c>
      <c r="M8" s="7"/>
    </row>
    <row r="9" spans="1:18" ht="15.6" customHeight="1" x14ac:dyDescent="0.3">
      <c r="B9" s="4" t="s">
        <v>5</v>
      </c>
      <c r="C9" s="5"/>
      <c r="D9" s="5"/>
      <c r="E9" s="5"/>
      <c r="J9" s="18" t="s">
        <v>15</v>
      </c>
      <c r="K9" s="18"/>
      <c r="L9" s="14">
        <v>8000</v>
      </c>
      <c r="M9" s="7"/>
    </row>
    <row r="10" spans="1:18" ht="15.6" customHeight="1" x14ac:dyDescent="0.3">
      <c r="B10" s="4" t="s">
        <v>3</v>
      </c>
      <c r="C10" s="5"/>
      <c r="D10" s="5"/>
      <c r="E10" s="5"/>
      <c r="J10" s="19" t="s">
        <v>16</v>
      </c>
      <c r="K10" s="19"/>
      <c r="L10" s="15">
        <f>L8-L9</f>
        <v>42000</v>
      </c>
      <c r="M10" s="7"/>
    </row>
    <row r="11" spans="1:18" ht="15.6" customHeight="1" x14ac:dyDescent="0.3">
      <c r="B11" s="4" t="s">
        <v>4</v>
      </c>
      <c r="C11" s="5"/>
      <c r="D11" s="5"/>
      <c r="E11" s="5"/>
      <c r="J11" s="9"/>
      <c r="K11" s="9"/>
      <c r="M11" s="7"/>
    </row>
    <row r="12" spans="1:18" x14ac:dyDescent="0.3">
      <c r="I12" s="22" t="s">
        <v>17</v>
      </c>
      <c r="J12" s="22"/>
      <c r="K12" s="22"/>
      <c r="N12" s="29" t="s">
        <v>24</v>
      </c>
      <c r="O12" s="29"/>
    </row>
    <row r="13" spans="1:18" x14ac:dyDescent="0.3">
      <c r="I13" s="21" t="s">
        <v>18</v>
      </c>
      <c r="J13" s="20"/>
      <c r="K13" s="7"/>
      <c r="N13" s="9" t="s">
        <v>25</v>
      </c>
      <c r="O13" s="9"/>
      <c r="P13" s="9"/>
      <c r="Q13" s="9"/>
      <c r="R13" s="9"/>
    </row>
    <row r="14" spans="1:18" x14ac:dyDescent="0.3">
      <c r="I14" s="20"/>
      <c r="J14" s="20"/>
    </row>
    <row r="15" spans="1:18" x14ac:dyDescent="0.3">
      <c r="I15" s="20"/>
      <c r="J15" s="20"/>
      <c r="K15" s="24" t="s">
        <v>19</v>
      </c>
      <c r="L15" s="24"/>
    </row>
    <row r="16" spans="1:18" x14ac:dyDescent="0.3">
      <c r="K16" s="25">
        <f>L6/L8</f>
        <v>1.8</v>
      </c>
      <c r="L16" s="25"/>
    </row>
    <row r="18" spans="8:19" x14ac:dyDescent="0.3">
      <c r="I18" s="23" t="s">
        <v>20</v>
      </c>
      <c r="J18" s="23"/>
      <c r="K18" s="23"/>
      <c r="N18" s="29" t="s">
        <v>24</v>
      </c>
      <c r="O18" s="29"/>
    </row>
    <row r="19" spans="8:19" x14ac:dyDescent="0.3">
      <c r="N19" s="9" t="s">
        <v>26</v>
      </c>
      <c r="O19" s="9"/>
      <c r="P19" s="9"/>
      <c r="Q19" s="9"/>
      <c r="R19" s="9"/>
      <c r="S19" s="9"/>
    </row>
    <row r="20" spans="8:19" x14ac:dyDescent="0.3">
      <c r="I20" s="21" t="s">
        <v>18</v>
      </c>
      <c r="J20" s="20"/>
    </row>
    <row r="21" spans="8:19" x14ac:dyDescent="0.3">
      <c r="I21" s="20"/>
      <c r="J21" s="20"/>
    </row>
    <row r="22" spans="8:19" x14ac:dyDescent="0.3">
      <c r="I22" s="20"/>
      <c r="J22" s="20"/>
      <c r="K22" s="24" t="s">
        <v>21</v>
      </c>
      <c r="L22" s="24"/>
    </row>
    <row r="23" spans="8:19" x14ac:dyDescent="0.3">
      <c r="K23" s="26">
        <f>L8/(L8-L9)</f>
        <v>1.1904761904761905</v>
      </c>
      <c r="L23" s="26"/>
    </row>
    <row r="25" spans="8:19" x14ac:dyDescent="0.3">
      <c r="H25" s="22" t="s">
        <v>22</v>
      </c>
      <c r="I25" s="22"/>
      <c r="J25" s="22"/>
      <c r="K25" s="22"/>
      <c r="N25" s="29" t="s">
        <v>24</v>
      </c>
      <c r="O25" s="29"/>
    </row>
    <row r="26" spans="8:19" x14ac:dyDescent="0.3">
      <c r="I26" s="21" t="s">
        <v>18</v>
      </c>
      <c r="J26" s="21"/>
      <c r="K26" s="21"/>
      <c r="L26" s="27"/>
      <c r="N26" s="9" t="s">
        <v>27</v>
      </c>
      <c r="O26" s="9"/>
      <c r="P26" s="9"/>
      <c r="Q26" s="9"/>
      <c r="R26" s="9"/>
      <c r="S26" s="9"/>
    </row>
    <row r="27" spans="8:19" x14ac:dyDescent="0.3">
      <c r="I27" s="21"/>
      <c r="J27" s="21"/>
      <c r="K27" s="21"/>
      <c r="L27" s="27" t="s">
        <v>23</v>
      </c>
    </row>
    <row r="28" spans="8:19" x14ac:dyDescent="0.3">
      <c r="I28" s="21"/>
      <c r="J28" s="21"/>
      <c r="K28" s="21"/>
      <c r="L28" s="28">
        <f>K16*K23</f>
        <v>2.1428571428571428</v>
      </c>
    </row>
  </sheetData>
  <mergeCells count="33">
    <mergeCell ref="I26:K28"/>
    <mergeCell ref="N12:O12"/>
    <mergeCell ref="N18:O18"/>
    <mergeCell ref="N25:O25"/>
    <mergeCell ref="N13:R13"/>
    <mergeCell ref="N19:S19"/>
    <mergeCell ref="N26:S26"/>
    <mergeCell ref="I18:K18"/>
    <mergeCell ref="I20:J22"/>
    <mergeCell ref="K22:L22"/>
    <mergeCell ref="K23:L23"/>
    <mergeCell ref="H25:K25"/>
    <mergeCell ref="I12:K12"/>
    <mergeCell ref="I13:J15"/>
    <mergeCell ref="K15:L15"/>
    <mergeCell ref="K16:L16"/>
    <mergeCell ref="J8:K8"/>
    <mergeCell ref="J9:K9"/>
    <mergeCell ref="J10:K10"/>
    <mergeCell ref="J11:K11"/>
    <mergeCell ref="J1:L1"/>
    <mergeCell ref="J3:K3"/>
    <mergeCell ref="J4:K4"/>
    <mergeCell ref="J5:K5"/>
    <mergeCell ref="J6:K6"/>
    <mergeCell ref="J7:K7"/>
    <mergeCell ref="B1:E1"/>
    <mergeCell ref="A7:B7"/>
    <mergeCell ref="B8:D8"/>
    <mergeCell ref="B9:E9"/>
    <mergeCell ref="B10:E10"/>
    <mergeCell ref="B11:E11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Joshi</dc:creator>
  <cp:lastModifiedBy>Manasi Joshi</cp:lastModifiedBy>
  <dcterms:created xsi:type="dcterms:W3CDTF">2026-04-08T10:01:37Z</dcterms:created>
  <dcterms:modified xsi:type="dcterms:W3CDTF">2026-04-08T11:46:50Z</dcterms:modified>
</cp:coreProperties>
</file>