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i Joshi\Documents\FA Assignments &amp; projects\"/>
    </mc:Choice>
  </mc:AlternateContent>
  <xr:revisionPtr revIDLastSave="0" documentId="13_ncr:1_{CBDA0FFB-8D07-4D0A-9EB0-12DC634BA7EA}" xr6:coauthVersionLast="47" xr6:coauthVersionMax="47" xr10:uidLastSave="{00000000-0000-0000-0000-000000000000}"/>
  <bookViews>
    <workbookView xWindow="-108" yWindow="-108" windowWidth="23256" windowHeight="12456" xr2:uid="{27143083-82F2-4F3A-8176-FD3642A3A45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17" i="1"/>
  <c r="E15" i="1"/>
  <c r="G10" i="1"/>
  <c r="F10" i="1"/>
  <c r="E10" i="1"/>
  <c r="G9" i="1"/>
  <c r="F9" i="1"/>
  <c r="E9" i="1"/>
  <c r="H9" i="1"/>
  <c r="I9" i="1"/>
  <c r="H10" i="1" l="1"/>
  <c r="I10" i="1" s="1"/>
</calcChain>
</file>

<file path=xl/sharedStrings.xml><?xml version="1.0" encoding="utf-8"?>
<sst xmlns="http://schemas.openxmlformats.org/spreadsheetml/2006/main" count="18" uniqueCount="18">
  <si>
    <t>Capital Budgeting Analysis</t>
  </si>
  <si>
    <t>NPV, IRR, and Payback Period</t>
  </si>
  <si>
    <t>Project 1</t>
  </si>
  <si>
    <t>Period</t>
  </si>
  <si>
    <t>Cash Inflow</t>
  </si>
  <si>
    <t>Cash Outflow</t>
  </si>
  <si>
    <t>Net Cash Flow</t>
  </si>
  <si>
    <t>Cumulative Cash Flow</t>
  </si>
  <si>
    <t>Discount Rate -&gt;</t>
  </si>
  <si>
    <t>NPV -&gt;</t>
  </si>
  <si>
    <t>IRR -&gt;</t>
  </si>
  <si>
    <t>Payback Period -&gt;</t>
  </si>
  <si>
    <t>Decision with Justification</t>
  </si>
  <si>
    <t>Decision: The company should Accept the project.</t>
  </si>
  <si>
    <t>Justification:</t>
  </si>
  <si>
    <t>1.Positive NPV: The project has a Net Present Value of ₹9,84,160. Since the NPV is greater than zero (NPV &gt; 0), it indicates that the project is expected to create value for the company after covering all costs and the required return.</t>
  </si>
  <si>
    <t>2.IRR &gt; Cost of Capital: The Internal Rate of Return is 20.50%, which is significantly higher than the company’s Cost of Capital (12%). This means the project earns a higher return than what it costs to fund it.</t>
  </si>
  <si>
    <t>3.Reasonable Payback Period: The project recovers its initial investment in 2.6 years. Since the project lasts for 4 years, it pays for itself well before the project life 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</si>
</sst>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-* #,##0\ _€_-;\-* #,##0\ _€_-;_-* &quot;-&quot;??\ _€_-;_-@"/>
    <numFmt numFmtId="166" formatCode="_-* #,##0.00_-;\-* #,##0.00_-;_-* &quot;-&quot;??_-;_-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</font>
    <font>
      <b/>
      <sz val="12"/>
      <color theme="1"/>
      <name val="Calibri"/>
    </font>
    <font>
      <i/>
      <sz val="14"/>
      <color theme="1"/>
      <name val="Calibri"/>
    </font>
    <font>
      <b/>
      <sz val="12"/>
      <color theme="0"/>
      <name val="Calibri"/>
    </font>
    <font>
      <sz val="12"/>
      <name val="Calibri"/>
    </font>
    <font>
      <sz val="12"/>
      <color theme="1"/>
      <name val="Calibri"/>
      <scheme val="minor"/>
    </font>
    <font>
      <sz val="12"/>
      <color rgb="FF0432FF"/>
      <name val="Calibri"/>
    </font>
    <font>
      <sz val="8"/>
      <name val="Calibri"/>
      <family val="2"/>
      <scheme val="minor"/>
    </font>
    <font>
      <b/>
      <sz val="12"/>
      <color rgb="FF0432FF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293D68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rgb="FFD9E2F3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7" fillId="0" borderId="0" xfId="0" applyFont="1"/>
    <xf numFmtId="164" fontId="8" fillId="2" borderId="0" xfId="0" applyNumberFormat="1" applyFont="1" applyFill="1"/>
    <xf numFmtId="0" fontId="3" fillId="0" borderId="2" xfId="0" applyFont="1" applyBorder="1"/>
    <xf numFmtId="164" fontId="3" fillId="0" borderId="2" xfId="0" applyNumberFormat="1" applyFont="1" applyBorder="1"/>
    <xf numFmtId="164" fontId="8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165" fontId="3" fillId="3" borderId="3" xfId="0" applyNumberFormat="1" applyFont="1" applyFill="1" applyBorder="1"/>
    <xf numFmtId="0" fontId="3" fillId="0" borderId="0" xfId="0" applyFont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9" fontId="10" fillId="8" borderId="3" xfId="0" applyNumberFormat="1" applyFont="1" applyFill="1" applyBorder="1" applyAlignment="1">
      <alignment horizontal="center"/>
    </xf>
    <xf numFmtId="166" fontId="3" fillId="3" borderId="3" xfId="0" applyNumberFormat="1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horizontal="justify" vertical="center"/>
    </xf>
    <xf numFmtId="0" fontId="5" fillId="5" borderId="0" xfId="0" applyFont="1" applyFill="1" applyAlignment="1">
      <alignment horizontal="center"/>
    </xf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DB4E-AFFB-497E-A681-7F5D0DB5CC50}">
  <dimension ref="D2:AE29"/>
  <sheetViews>
    <sheetView tabSelected="1" workbookViewId="0">
      <selection activeCell="E2" sqref="E2"/>
    </sheetView>
  </sheetViews>
  <sheetFormatPr defaultRowHeight="14.4" x14ac:dyDescent="0.3"/>
  <cols>
    <col min="3" max="3" width="5.44140625" customWidth="1"/>
    <col min="4" max="4" width="30.88671875" customWidth="1"/>
    <col min="5" max="5" width="14.6640625" bestFit="1" customWidth="1"/>
    <col min="6" max="7" width="11.88671875" bestFit="1" customWidth="1"/>
    <col min="8" max="9" width="11.21875" bestFit="1" customWidth="1"/>
    <col min="10" max="10" width="3.88671875" customWidth="1"/>
    <col min="11" max="11" width="10" customWidth="1"/>
    <col min="12" max="12" width="39.44140625" customWidth="1"/>
    <col min="19" max="19" width="18.109375" customWidth="1"/>
  </cols>
  <sheetData>
    <row r="2" spans="4:31" ht="31.2" x14ac:dyDescent="0.6">
      <c r="D2" s="1" t="s">
        <v>0</v>
      </c>
      <c r="E2" s="2"/>
      <c r="F2" s="2"/>
      <c r="G2" s="2"/>
      <c r="H2" s="2"/>
      <c r="I2" s="2"/>
    </row>
    <row r="3" spans="4:31" ht="18" x14ac:dyDescent="0.35">
      <c r="D3" s="3" t="s">
        <v>1</v>
      </c>
      <c r="K3" s="17"/>
      <c r="L3" s="17"/>
      <c r="M3" s="20"/>
      <c r="N3" s="20"/>
      <c r="O3" s="20"/>
      <c r="P3" s="20"/>
      <c r="Q3" s="20"/>
      <c r="R3" s="20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/>
    </row>
    <row r="4" spans="4:31" x14ac:dyDescent="0.3">
      <c r="K4" s="20"/>
      <c r="L4" s="17"/>
      <c r="M4" s="20"/>
      <c r="N4" s="20"/>
      <c r="O4" s="20"/>
      <c r="P4" s="20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/>
    </row>
    <row r="5" spans="4:31" ht="15.6" x14ac:dyDescent="0.3">
      <c r="D5" s="28" t="s">
        <v>2</v>
      </c>
      <c r="E5" s="29"/>
      <c r="F5" s="29"/>
      <c r="G5" s="29"/>
      <c r="H5" s="29"/>
      <c r="I5" s="29"/>
      <c r="K5" s="17"/>
      <c r="L5" s="17"/>
      <c r="M5" s="20"/>
      <c r="N5" s="20"/>
      <c r="O5" s="20"/>
      <c r="P5" s="20"/>
      <c r="Q5" s="20"/>
      <c r="R5" s="20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/>
    </row>
    <row r="6" spans="4:31" ht="15.6" x14ac:dyDescent="0.3">
      <c r="D6" s="14" t="s">
        <v>3</v>
      </c>
      <c r="E6" s="14">
        <v>0</v>
      </c>
      <c r="F6" s="14">
        <v>1</v>
      </c>
      <c r="G6" s="14">
        <v>2</v>
      </c>
      <c r="H6" s="14">
        <v>3</v>
      </c>
      <c r="I6" s="14">
        <v>4</v>
      </c>
      <c r="K6" s="17"/>
      <c r="L6" s="17"/>
      <c r="M6" s="20"/>
      <c r="N6" s="20"/>
      <c r="O6" s="20"/>
      <c r="P6" s="20"/>
      <c r="Q6" s="20"/>
      <c r="R6" s="20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/>
    </row>
    <row r="7" spans="4:31" ht="15.6" x14ac:dyDescent="0.3">
      <c r="D7" s="4" t="s">
        <v>4</v>
      </c>
      <c r="E7" s="5"/>
      <c r="F7" s="5">
        <v>1500000</v>
      </c>
      <c r="G7" s="5">
        <v>2000000</v>
      </c>
      <c r="H7" s="5">
        <v>2500000</v>
      </c>
      <c r="I7" s="5">
        <v>2000000</v>
      </c>
      <c r="K7" s="17"/>
      <c r="L7" s="17"/>
      <c r="M7" s="20"/>
      <c r="N7" s="20"/>
      <c r="O7" s="20"/>
      <c r="P7" s="20"/>
      <c r="Q7" s="20"/>
      <c r="R7" s="20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/>
    </row>
    <row r="8" spans="4:31" ht="15.6" x14ac:dyDescent="0.3">
      <c r="D8" s="4" t="s">
        <v>5</v>
      </c>
      <c r="E8" s="5">
        <v>-5000000</v>
      </c>
      <c r="F8" s="8"/>
      <c r="G8" s="8">
        <v>0</v>
      </c>
      <c r="H8" s="8"/>
      <c r="I8" s="8"/>
      <c r="K8" s="17"/>
      <c r="L8" s="17"/>
      <c r="M8" s="20"/>
      <c r="N8" s="20"/>
      <c r="O8" s="20"/>
      <c r="P8" s="20"/>
      <c r="Q8" s="20"/>
      <c r="R8" s="20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/>
    </row>
    <row r="9" spans="4:31" ht="15.6" x14ac:dyDescent="0.3">
      <c r="D9" s="6" t="s">
        <v>6</v>
      </c>
      <c r="E9" s="7">
        <f>E7+E8</f>
        <v>-5000000</v>
      </c>
      <c r="F9" s="7">
        <f>F7+F8</f>
        <v>1500000</v>
      </c>
      <c r="G9" s="7">
        <f>G7+G8</f>
        <v>2000000</v>
      </c>
      <c r="H9" s="7">
        <f>H7+H8</f>
        <v>2500000</v>
      </c>
      <c r="I9" s="7">
        <f t="shared" ref="G9:I9" si="0">I7+I8</f>
        <v>2000000</v>
      </c>
      <c r="K9" s="17"/>
      <c r="L9" s="17"/>
      <c r="M9" s="17"/>
      <c r="N9" s="17"/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4:31" ht="15.6" x14ac:dyDescent="0.3">
      <c r="D10" s="6" t="s">
        <v>7</v>
      </c>
      <c r="E10" s="7">
        <f>E9</f>
        <v>-5000000</v>
      </c>
      <c r="F10" s="7">
        <f>F9+E10</f>
        <v>-3500000</v>
      </c>
      <c r="G10" s="7">
        <f>G9+F10</f>
        <v>-1500000</v>
      </c>
      <c r="H10" s="7">
        <f t="shared" ref="G10:I10" si="1">H9+G10</f>
        <v>1000000</v>
      </c>
      <c r="I10" s="7">
        <f t="shared" si="1"/>
        <v>3000000</v>
      </c>
      <c r="K10" s="17"/>
      <c r="L10" s="17"/>
      <c r="M10" s="17"/>
      <c r="N10" s="17"/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4:31" x14ac:dyDescent="0.3">
      <c r="K11" s="17"/>
      <c r="L11" s="17"/>
      <c r="M11" s="17"/>
      <c r="N11" s="17"/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4:31" x14ac:dyDescent="0.3"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4:31" ht="15.6" x14ac:dyDescent="0.3">
      <c r="D13" s="9" t="s">
        <v>8</v>
      </c>
      <c r="E13" s="15">
        <v>0.12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4:31" ht="15.6" x14ac:dyDescent="0.3">
      <c r="E14" s="10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4:31" ht="15.6" x14ac:dyDescent="0.3">
      <c r="D15" s="9" t="s">
        <v>9</v>
      </c>
      <c r="E15" s="11">
        <f>NPV(E13,F9:I9)+E9</f>
        <v>984160.24573094398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4:31" ht="15.6" x14ac:dyDescent="0.3">
      <c r="D16" s="9"/>
      <c r="E16" s="12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4:30" ht="15.6" x14ac:dyDescent="0.3">
      <c r="D17" s="9" t="s">
        <v>10</v>
      </c>
      <c r="E17" s="13">
        <f>IRR(E9:I9)</f>
        <v>0.20496225738868956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4:30" ht="15.6" x14ac:dyDescent="0.3">
      <c r="D18" s="9"/>
      <c r="E18" s="12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4:30" ht="15.6" x14ac:dyDescent="0.3">
      <c r="D19" s="9" t="s">
        <v>11</v>
      </c>
      <c r="E19" s="16">
        <f>2+ABS(G10/H9)</f>
        <v>2.6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4:30" x14ac:dyDescent="0.3"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2" spans="4:30" x14ac:dyDescent="0.3">
      <c r="D22" s="22" t="s">
        <v>12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4:30" ht="28.8" x14ac:dyDescent="0.3">
      <c r="D23" s="27" t="s">
        <v>13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4:30" x14ac:dyDescent="0.3">
      <c r="D24" s="27" t="s">
        <v>14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4:30" ht="100.8" x14ac:dyDescent="0.3">
      <c r="D25" s="27" t="s">
        <v>15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4:30" ht="100.8" x14ac:dyDescent="0.3">
      <c r="D26" s="23" t="s">
        <v>16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4:30" ht="86.4" x14ac:dyDescent="0.3">
      <c r="D27" s="23" t="s">
        <v>17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4:30" x14ac:dyDescent="0.3"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4:30" x14ac:dyDescent="0.3">
      <c r="D29" s="24"/>
    </row>
  </sheetData>
  <mergeCells count="1">
    <mergeCell ref="D5:I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Joshi</dc:creator>
  <cp:lastModifiedBy>Manasi Joshi</cp:lastModifiedBy>
  <dcterms:created xsi:type="dcterms:W3CDTF">2026-03-16T10:03:51Z</dcterms:created>
  <dcterms:modified xsi:type="dcterms:W3CDTF">2026-05-18T09:53:16Z</dcterms:modified>
</cp:coreProperties>
</file>